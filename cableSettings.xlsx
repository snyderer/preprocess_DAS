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s334\Documents\gitRepos\preprocess_DAS\"/>
    </mc:Choice>
  </mc:AlternateContent>
  <xr:revisionPtr revIDLastSave="0" documentId="13_ncr:1_{49EDB104-6F18-41F1-B7A5-EB60C106BC30}" xr6:coauthVersionLast="47" xr6:coauthVersionMax="47" xr10:uidLastSave="{00000000-0000-0000-0000-000000000000}"/>
  <bookViews>
    <workbookView xWindow="-120" yWindow="-120" windowWidth="29040" windowHeight="15720" xr2:uid="{C7A9485E-BE60-49EE-BF9E-665F504FA5B3}"/>
  </bookViews>
  <sheets>
    <sheet name="cableSettin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2" i="1"/>
  <c r="G14" i="1"/>
  <c r="H3" i="1"/>
  <c r="I3" i="1" s="1"/>
  <c r="H4" i="1"/>
  <c r="I4" i="1" s="1"/>
  <c r="H5" i="1"/>
  <c r="I5" i="1" s="1"/>
  <c r="H6" i="1"/>
  <c r="I6" i="1" s="1"/>
  <c r="H7" i="1"/>
  <c r="I7" i="1" s="1"/>
  <c r="H2" i="1"/>
  <c r="I2" i="1" s="1"/>
  <c r="K6" i="1"/>
  <c r="K7" i="1"/>
  <c r="K2" i="1"/>
  <c r="K5" i="1"/>
  <c r="M5" i="1" s="1"/>
  <c r="K3" i="1"/>
  <c r="M3" i="1" s="1"/>
  <c r="K4" i="1"/>
  <c r="M4" i="1" s="1"/>
</calcChain>
</file>

<file path=xl/sharedStrings.xml><?xml version="1.0" encoding="utf-8"?>
<sst xmlns="http://schemas.openxmlformats.org/spreadsheetml/2006/main" count="32" uniqueCount="26">
  <si>
    <t>Dataset</t>
  </si>
  <si>
    <t>fs</t>
  </si>
  <si>
    <t>ns</t>
  </si>
  <si>
    <t>dx</t>
  </si>
  <si>
    <t>nx</t>
  </si>
  <si>
    <t>GL</t>
  </si>
  <si>
    <t>MedSea</t>
  </si>
  <si>
    <t>total_length</t>
  </si>
  <si>
    <t>OOI_optasense_South_C1</t>
  </si>
  <si>
    <t>OOI_optasense_North_C3</t>
  </si>
  <si>
    <t>OOI_optasense_North_C2</t>
  </si>
  <si>
    <t>Notes</t>
  </si>
  <si>
    <t>start_distance_km[0]</t>
  </si>
  <si>
    <t>OOI_Silixa_South</t>
  </si>
  <si>
    <t>interrogator</t>
  </si>
  <si>
    <t>optasense</t>
  </si>
  <si>
    <t>silixa</t>
  </si>
  <si>
    <t>asn</t>
  </si>
  <si>
    <t>Svalbard</t>
  </si>
  <si>
    <t>data_dimensions</t>
  </si>
  <si>
    <t>Memory_GB</t>
  </si>
  <si>
    <t>file_durations_sec</t>
  </si>
  <si>
    <t>Too big, can't use full cable</t>
  </si>
  <si>
    <t>-</t>
  </si>
  <si>
    <t>cable_length_km</t>
  </si>
  <si>
    <t>full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</si>
</sst>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nsolas"/>
      <family val="3"/>
    </font>
    <font>
      <sz val="11"/>
      <color theme="1"/>
      <name val="Aptos Display"/>
      <family val="2"/>
    </font>
    <font>
      <sz val="10"/>
      <color theme="1"/>
      <name val="Arial Unicode MS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8" fillId="0" borderId="0" xfId="0" applyFont="1"/>
    <xf numFmtId="0" fontId="19" fillId="0" borderId="0" xfId="0" applyFont="1"/>
    <xf numFmtId="3" fontId="20" fillId="0" borderId="0" xfId="0" applyNumberFormat="1" applyFont="1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3172-BDC0-4D7D-9EA8-0BCC176EBE0A}">
  <dimension ref="A1:O16"/>
  <sheetViews>
    <sheetView tabSelected="1" workbookViewId="0">
      <selection activeCell="N1" sqref="N1"/>
    </sheetView>
  </sheetViews>
  <sheetFormatPr defaultRowHeight="15"/>
  <cols>
    <col min="1" max="1" width="24.85546875" bestFit="1" customWidth="1"/>
    <col min="2" max="2" width="23.7109375" customWidth="1"/>
    <col min="3" max="3" width="11" bestFit="1" customWidth="1"/>
    <col min="5" max="5" width="17.28515625" bestFit="1" customWidth="1"/>
    <col min="8" max="8" width="16.140625" bestFit="1" customWidth="1"/>
    <col min="9" max="9" width="16.140625" customWidth="1"/>
    <col min="10" max="10" width="11.28515625" bestFit="1" customWidth="1"/>
    <col min="11" max="11" width="13.7109375" bestFit="1" customWidth="1"/>
    <col min="12" max="12" width="19.42578125" bestFit="1" customWidth="1"/>
    <col min="13" max="14" width="19.42578125" customWidth="1"/>
  </cols>
  <sheetData>
    <row r="1" spans="1:15">
      <c r="A1" s="2" t="s">
        <v>0</v>
      </c>
      <c r="B1" s="2" t="s">
        <v>14</v>
      </c>
      <c r="C1" s="2" t="s">
        <v>1</v>
      </c>
      <c r="D1" s="2" t="s">
        <v>2</v>
      </c>
      <c r="E1" s="2" t="s">
        <v>21</v>
      </c>
      <c r="F1" s="2" t="s">
        <v>3</v>
      </c>
      <c r="G1" s="2" t="s">
        <v>4</v>
      </c>
      <c r="H1" s="2" t="s">
        <v>19</v>
      </c>
      <c r="I1" s="2" t="s">
        <v>20</v>
      </c>
      <c r="J1" s="2" t="s">
        <v>5</v>
      </c>
      <c r="K1" s="2" t="s">
        <v>7</v>
      </c>
      <c r="L1" s="2" t="s">
        <v>12</v>
      </c>
      <c r="M1" s="2" t="s">
        <v>24</v>
      </c>
      <c r="N1" s="2"/>
      <c r="O1" s="2" t="s">
        <v>11</v>
      </c>
    </row>
    <row r="2" spans="1:15">
      <c r="A2" s="2" t="s">
        <v>6</v>
      </c>
      <c r="B2" s="2" t="s">
        <v>17</v>
      </c>
      <c r="C2" s="1">
        <v>72.727272727272705</v>
      </c>
      <c r="D2" s="2">
        <v>727</v>
      </c>
      <c r="E2" s="2">
        <f>D2/C2</f>
        <v>9.9962500000000034</v>
      </c>
      <c r="F2" s="1">
        <v>4.0807521676988996</v>
      </c>
      <c r="G2" s="2">
        <v>13000</v>
      </c>
      <c r="H2" s="2">
        <f>G2*D2</f>
        <v>9451000</v>
      </c>
      <c r="I2" s="2">
        <f>(64/8)*H2/(2^30)</f>
        <v>7.04154372215271E-2</v>
      </c>
      <c r="J2" s="2">
        <v>1.02</v>
      </c>
      <c r="K2" s="2">
        <f>G2*F2</f>
        <v>53049.778180085697</v>
      </c>
      <c r="L2" s="2" t="s">
        <v>23</v>
      </c>
      <c r="M2" s="2" t="s">
        <v>25</v>
      </c>
      <c r="N2" s="2"/>
      <c r="O2" s="2"/>
    </row>
    <row r="3" spans="1:15">
      <c r="A3" s="2" t="s">
        <v>10</v>
      </c>
      <c r="B3" s="2" t="s">
        <v>15</v>
      </c>
      <c r="C3" s="2">
        <v>500</v>
      </c>
      <c r="D3" s="2">
        <v>15000</v>
      </c>
      <c r="E3" s="2">
        <f t="shared" ref="E3:E7" si="0">D3/C3</f>
        <v>30</v>
      </c>
      <c r="F3" s="2">
        <v>2.0419046999999999</v>
      </c>
      <c r="G3" s="2">
        <v>32600</v>
      </c>
      <c r="H3" s="2">
        <f>G3*D3</f>
        <v>489000000</v>
      </c>
      <c r="I3" s="2">
        <f t="shared" ref="I3:I7" si="1">(64/8)*H3/(2^30)</f>
        <v>3.643333911895752</v>
      </c>
      <c r="J3" s="2">
        <v>30.628571999999998</v>
      </c>
      <c r="K3" s="2">
        <f>G3*F3</f>
        <v>66566.093219999995</v>
      </c>
      <c r="L3" s="2">
        <v>20</v>
      </c>
      <c r="M3" s="2">
        <f>K3/1000-L3</f>
        <v>46.566093219999999</v>
      </c>
      <c r="N3" s="2"/>
    </row>
    <row r="4" spans="1:15">
      <c r="A4" s="2" t="s">
        <v>9</v>
      </c>
      <c r="B4" s="2" t="s">
        <v>15</v>
      </c>
      <c r="C4" s="2">
        <v>1000</v>
      </c>
      <c r="D4" s="2">
        <v>30000</v>
      </c>
      <c r="E4" s="2">
        <f t="shared" si="0"/>
        <v>30</v>
      </c>
      <c r="F4" s="2">
        <v>2.0419046999999999</v>
      </c>
      <c r="G4" s="2">
        <v>32600</v>
      </c>
      <c r="H4" s="2">
        <f>G4*D4</f>
        <v>978000000</v>
      </c>
      <c r="I4" s="2">
        <f t="shared" si="1"/>
        <v>7.2866678237915039</v>
      </c>
      <c r="J4" s="2">
        <v>30.628571999999998</v>
      </c>
      <c r="K4" s="2">
        <f>G4*F4</f>
        <v>66566.093219999995</v>
      </c>
      <c r="L4" s="2">
        <v>20</v>
      </c>
      <c r="M4" s="2">
        <f>K4/1000-L4</f>
        <v>46.566093219999999</v>
      </c>
      <c r="N4" s="2"/>
      <c r="O4" s="2" t="s">
        <v>22</v>
      </c>
    </row>
    <row r="5" spans="1:15">
      <c r="A5" s="2" t="s">
        <v>8</v>
      </c>
      <c r="B5" s="2" t="s">
        <v>15</v>
      </c>
      <c r="C5" s="2">
        <v>200</v>
      </c>
      <c r="D5" s="2">
        <v>12000</v>
      </c>
      <c r="E5" s="2">
        <f t="shared" si="0"/>
        <v>60</v>
      </c>
      <c r="F5" s="2">
        <v>2.0419046999999999</v>
      </c>
      <c r="G5" s="2">
        <v>47500</v>
      </c>
      <c r="H5" s="2">
        <f>G5*D5</f>
        <v>570000000</v>
      </c>
      <c r="I5" s="2">
        <f t="shared" si="1"/>
        <v>4.246830940246582</v>
      </c>
      <c r="J5" s="2">
        <v>51.047620000000002</v>
      </c>
      <c r="K5" s="2">
        <f>G5*F5</f>
        <v>96990.473249999995</v>
      </c>
      <c r="L5" s="2">
        <v>20</v>
      </c>
      <c r="M5" s="2">
        <f>K5/1000-L5</f>
        <v>76.990473249999994</v>
      </c>
      <c r="N5" s="2"/>
      <c r="O5" s="2" t="s">
        <v>22</v>
      </c>
    </row>
    <row r="6" spans="1:15">
      <c r="A6" s="2" t="s">
        <v>13</v>
      </c>
      <c r="B6" s="2" t="s">
        <v>16</v>
      </c>
      <c r="C6" s="2">
        <v>1000</v>
      </c>
      <c r="D6" s="2">
        <v>15000</v>
      </c>
      <c r="E6" s="2">
        <f t="shared" si="0"/>
        <v>15</v>
      </c>
      <c r="F6" s="2">
        <v>1</v>
      </c>
      <c r="G6" s="2">
        <v>19648</v>
      </c>
      <c r="H6" s="2">
        <f>G6*D6</f>
        <v>294720000</v>
      </c>
      <c r="I6" s="2">
        <f t="shared" si="1"/>
        <v>2.1958351135253906</v>
      </c>
      <c r="J6" s="2">
        <v>2.0419047677428099</v>
      </c>
      <c r="K6" s="2">
        <f>G6*F6</f>
        <v>19648</v>
      </c>
      <c r="L6" s="2" t="s">
        <v>23</v>
      </c>
      <c r="M6" s="2"/>
      <c r="N6" s="2"/>
      <c r="O6" s="2"/>
    </row>
    <row r="7" spans="1:15">
      <c r="A7" s="2" t="s">
        <v>18</v>
      </c>
      <c r="B7" s="2" t="s">
        <v>17</v>
      </c>
      <c r="C7" s="2">
        <v>625</v>
      </c>
      <c r="D7" s="2">
        <v>6250</v>
      </c>
      <c r="E7" s="2">
        <f t="shared" si="0"/>
        <v>10</v>
      </c>
      <c r="F7" s="2">
        <v>4.0852007630987197</v>
      </c>
      <c r="G7" s="1">
        <v>33748</v>
      </c>
      <c r="H7" s="2">
        <f>G7*D7</f>
        <v>210925000</v>
      </c>
      <c r="I7" s="2">
        <f t="shared" si="1"/>
        <v>1.5715137124061584</v>
      </c>
      <c r="J7" s="1">
        <v>8.1704015261974501</v>
      </c>
      <c r="K7" s="2">
        <f>G7*F7</f>
        <v>137867.35535305558</v>
      </c>
      <c r="L7" s="2" t="s">
        <v>23</v>
      </c>
      <c r="M7" s="2"/>
      <c r="N7" s="2"/>
      <c r="O7" s="2"/>
    </row>
    <row r="14" spans="1:15">
      <c r="G14">
        <f>7.3/19.3</f>
        <v>0.37823834196891187</v>
      </c>
      <c r="H14" s="3"/>
      <c r="I14" s="3"/>
    </row>
    <row r="16" spans="1:15">
      <c r="H16" s="2"/>
      <c r="I1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cableSettings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Russell Snyder</dc:creator>
  <cp:lastModifiedBy>Eric Russell Snyder</cp:lastModifiedBy>
  <dcterms:created xsi:type="dcterms:W3CDTF">2025-10-08T19:30:01Z</dcterms:created>
  <dcterms:modified xsi:type="dcterms:W3CDTF">2025-11-17T21:45:56Z</dcterms:modified>
</cp:coreProperties>
</file>